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eduardo\Desktop\"/>
    </mc:Choice>
  </mc:AlternateContent>
  <xr:revisionPtr revIDLastSave="0" documentId="13_ncr:2001_{8329FBF4-B7DB-4910-95F6-2B2BACF76175}" xr6:coauthVersionLast="47" xr6:coauthVersionMax="47" xr10:uidLastSave="{00000000-0000-0000-0000-000000000000}"/>
  <bookViews>
    <workbookView xWindow="12135" yWindow="0" windowWidth="16770" windowHeight="15585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1" r:id="rId5"/>
  </pivotCaches>
  <fileRecoveryPr repairLoad="1"/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3" l="1"/>
  <c r="E24" i="3"/>
</calcChain>
</file>

<file path=xl/sharedStrings.xml><?xml version="1.0" encoding="utf-8"?>
<sst xmlns="http://schemas.openxmlformats.org/spreadsheetml/2006/main" count="2017" uniqueCount="319">
  <si>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</si>
  <si>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</si>
  <si>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</si>
  <si>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</si>
  <si>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</si>
  <si>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</si>
  <si>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</si>
  <si>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</si>
  <si>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</si>
  <si>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</si>
  <si>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</si>
  <si>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</si>
  <si>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</si>
  <si>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</si>
  <si>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</si>
  <si>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</si>
  <si>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</si>
  <si>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</si>
  <si>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</si>
  <si>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</si>
  <si>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</si>
  <si>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</si>
  <si>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</si>
  <si>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</si>
  <si>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</si>
  <si>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</si>
  <si>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</si>
  <si>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</si>
  <si>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</si>
  <si>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</si>
  <si>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</si>
  <si>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</si>
  <si>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</si>
  <si>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</si>
  <si>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</si>
  <si>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</si>
  <si>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</si>
  <si>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</si>
  <si>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</si>
  <si>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</si>
  <si>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</si>
  <si>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</si>
  <si>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</si>
  <si>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</si>
  <si>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</si>
  <si>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</si>
  <si>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</si>
  <si>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</si>
  <si>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</si>
  <si>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</si>
  <si>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</si>
  <si>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</si>
  <si>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</si>
  <si>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</si>
  <si>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</si>
  <si>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</si>
  <si>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</si>
  <si>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</si>
  <si>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</si>
  <si>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</si>
  <si>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</si>
  <si>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</si>
  <si>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</si>
  <si>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</si>
  <si>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</si>
  <si>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</si>
  <si>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</si>
  <si>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</si>
  <si>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</si>
  <si>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</si>
  <si>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</si>
  <si>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</si>
  <si>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</si>
  <si>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</si>
  <si>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</si>
  <si>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</si>
  <si>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</si>
  <si>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</si>
  <si>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</si>
  <si>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</si>
  <si>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</si>
  <si>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</si>
  <si>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</si>
  <si>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</si>
  <si>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</si>
  <si>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</si>
  <si>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</si>
  <si>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</si>
  <si>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</si>
  <si>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</si>
  <si>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</si>
  <si>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</si>
  <si>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</si>
  <si>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</si>
  <si>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</si>
  <si>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</si>
  <si>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</si>
  <si>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</si>
  <si>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</si>
  <si>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</si>
  <si>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</si>
  <si>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</si>
  <si>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</si>
  <si>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</si>
  <si>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</si>
  <si>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</si>
  <si>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</si>
  <si>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</si>
  <si>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</si>
  <si>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</si>
  <si>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</si>
  <si>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</si>
  <si>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</si>
  <si>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</si>
  <si>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</si>
  <si>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</si>
  <si>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</si>
  <si>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</si>
  <si>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</si>
  <si>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</si>
  <si>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</si>
  <si>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</si>
  <si>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</si>
  <si>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</si>
  <si>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</si>
  <si>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</si>
  <si>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</si>
  <si>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</si>
  <si>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</si>
  <si>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</si>
  <si>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</si>
  <si>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</si>
  <si>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</si>
  <si>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</si>
  <si>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</si>
  <si>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</si>
  <si>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</si>
  <si>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</si>
  <si>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</si>
  <si>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</si>
  <si>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</si>
  <si>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</si>
  <si>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</si>
  <si>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</si>
  <si>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</si>
  <si>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</si>
  <si>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</si>
  <si>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</si>
  <si>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</si>
  <si>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</si>
  <si>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</si>
  <si>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</si>
  <si>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</si>
  <si>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</si>
  <si>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</si>
  <si>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</si>
  <si>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</si>
  <si>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</si>
  <si>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</si>
  <si>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</si>
  <si>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</si>
  <si>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</si>
  <si>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</si>
  <si>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</si>
  <si>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</si>
  <si>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</si>
  <si>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</si>
  <si>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</si>
  <si>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</si>
  <si>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</si>
  <si>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</si>
  <si>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</si>
  <si>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</si>
  <si>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</si>
  <si>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</si>
  <si>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</si>
  <si>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</si>
  <si>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</si>
  <si>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</si>
  <si>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</si>
  <si>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</si>
  <si>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</si>
  <si>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</si>
  <si>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</si>
  <si>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</si>
  <si>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</si>
  <si>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</si>
  <si>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</si>
  <si>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</si>
  <si>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</si>
  <si>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</si>
  <si>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</si>
  <si>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</si>
  <si>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</si>
  <si>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</si>
  <si>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</si>
  <si>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</si>
  <si>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</si>
  <si>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</si>
  <si>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</si>
  <si>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</si>
  <si>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</si>
  <si>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</si>
  <si>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</si>
  <si>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</si>
  <si>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</si>
  <si>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</si>
  <si>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</si>
  <si>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</si>
  <si>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</si>
  <si>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</si>
  <si>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</si>
  <si>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</si>
  <si>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</si>
  <si>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</si>
  <si>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</si>
  <si>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</si>
  <si>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</si>
  <si>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</si>
  <si>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</si>
  <si>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</si>
  <si>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</si>
  <si>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</si>
  <si>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</si>
  <si>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</si>
  <si>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</si>
  <si>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</si>
  <si>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</si>
  <si>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</si>
  <si>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</si>
  <si>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</si>
  <si>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</si>
  <si>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</si>
  <si>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</si>
  <si>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</si>
  <si>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</si>
  <si>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</si>
  <si>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</si>
  <si>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</si>
  <si>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</si>
  <si>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</si>
  <si>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</si>
  <si>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</si>
  <si>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</si>
  <si>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</si>
  <si>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</si>
  <si>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</si>
  <si>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</si>
  <si>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</si>
  <si>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</si>
  <si>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</si>
  <si>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</si>
  <si>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</si>
  <si>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</si>
  <si>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</si>
  <si>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</si>
  <si>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</si>
  <si>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</si>
  <si>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</si>
  <si>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</si>
  <si>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</si>
  <si>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</si>
  <si>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</si>
  <si>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</si>
  <si>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</si>
  <si>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</si>
  <si>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</si>
  <si>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</si>
  <si>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</si>
  <si>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</si>
  <si>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</si>
  <si>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</si>
  <si>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</si>
  <si>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</si>
  <si>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</si>
  <si>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</si>
  <si>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</si>
  <si>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</si>
  <si>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</si>
  <si>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</si>
  <si>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</si>
  <si>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</si>
  <si>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</si>
  <si>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</si>
  <si>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</si>
  <si>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</si>
  <si>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</si>
  <si>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</si>
  <si>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</si>
  <si>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</si>
  <si>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</si>
  <si>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</si>
  <si>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</si>
  <si>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</si>
  <si>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</si>
  <si>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</si>
  <si>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</si>
  <si>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</si>
  <si>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</si>
  <si>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</si>
  <si>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</si>
  <si>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</si>
  <si>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</si>
  <si>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</si>
  <si>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</si>
  <si>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</si>
  <si>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</si>
  <si>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</si>
  <si>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</si>
  <si>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</si>
  <si>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</si>
  <si>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</si>
  <si>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</si>
  <si>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</si>
  <si>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</si>
  <si>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</si>
  <si>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XBOX GAME PASS SUBSCRIPTIONS SALES</t>
  </si>
  <si>
    <t>Soma de EA Play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</si>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</sst>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4" fillId="0" borderId="2" xfId="1" applyFont="1" applyFill="1" applyBorder="1"/>
    <xf numFmtId="44" fontId="0" fillId="0" borderId="0" xfId="2" applyFont="1"/>
    <xf numFmtId="0" fontId="0" fillId="0" borderId="2" xfId="0" applyBorder="1"/>
    <xf numFmtId="0" fontId="4" fillId="0" borderId="2" xfId="1" applyFont="1" applyFill="1" applyBorder="1" applyAlignment="1">
      <alignment horizontal="left" indent="7"/>
    </xf>
    <xf numFmtId="0" fontId="0" fillId="0" borderId="0" xfId="0" applyNumberFormat="1"/>
    <xf numFmtId="0" fontId="0" fillId="7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6"/>
        </bottom>
        <vertical/>
        <horizontal/>
      </border>
    </dxf>
    <dxf>
      <font>
        <color theme="1"/>
      </font>
      <fill>
        <patternFill patternType="solid"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3 2" pivot="0" table="0" count="10" xr9:uid="{7B086622-EC4C-4C92-884A-4B17A1F05380}">
      <tableStyleElement type="wholeTable" dxfId="15"/>
      <tableStyleElement type="headerRow" dxfId="14"/>
    </tableStyle>
  </tableStyles>
  <colors>
    <mruColors>
      <color rgb="FF22C55E"/>
      <color rgb="FF00B050"/>
      <color rgb="FF00CC00"/>
      <color rgb="FFE8E6E9"/>
      <color rgb="FF2AE6B1"/>
      <color rgb="FF5BF6A8"/>
      <color rgb="FF5EF6AB"/>
      <color rgb="FF000000"/>
      <color rgb="FFE0E0E0"/>
      <color rgb="FFEDEDED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3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[dashboard.xlsx]C̳álculos!tbl_anual_total</c:name>
    <c:fmtId val="10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noFill/>
          </a:ln>
          <a:effectLst/>
        </c:spPr>
      </c:pivotFmt>
      <c:pivotFmt>
        <c:idx val="4"/>
        <c:spPr>
          <a:solidFill>
            <a:srgbClr val="22C55E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860-4CC9-B5E6-3926BF4542EB}"/>
              </c:ext>
            </c:extLst>
          </c:dPt>
          <c:dPt>
            <c:idx val="1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7860-4CC9-B5E6-3926BF4542E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C̳álculos!$B$10:$B$12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C̳álculos!$C$10:$C$12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F7-4915-8AF1-FE8CE3B90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5734015"/>
        <c:axId val="145751775"/>
      </c:barChart>
      <c:catAx>
        <c:axId val="145734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5751775"/>
        <c:crosses val="autoZero"/>
        <c:auto val="1"/>
        <c:lblAlgn val="ctr"/>
        <c:lblOffset val="100"/>
        <c:noMultiLvlLbl val="0"/>
      </c:catAx>
      <c:valAx>
        <c:axId val="145751775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45734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6</xdr:row>
      <xdr:rowOff>0</xdr:rowOff>
    </xdr:from>
    <xdr:to>
      <xdr:col>11</xdr:col>
      <xdr:colOff>304800</xdr:colOff>
      <xdr:row>7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304800</xdr:colOff>
      <xdr:row>7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59531</xdr:colOff>
      <xdr:row>1</xdr:row>
      <xdr:rowOff>83344</xdr:rowOff>
    </xdr:from>
    <xdr:to>
      <xdr:col>2</xdr:col>
      <xdr:colOff>476250</xdr:colOff>
      <xdr:row>2</xdr:row>
      <xdr:rowOff>214313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C7E03E8-5132-4F75-B6F3-A795713849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50" t="20965" r="72360" b="17303"/>
        <a:stretch>
          <a:fillRect/>
        </a:stretch>
      </xdr:blipFill>
      <xdr:spPr>
        <a:xfrm>
          <a:off x="1897856" y="273844"/>
          <a:ext cx="654844" cy="62626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1</xdr:rowOff>
    </xdr:from>
    <xdr:to>
      <xdr:col>0</xdr:col>
      <xdr:colOff>1828800</xdr:colOff>
      <xdr:row>7</xdr:row>
      <xdr:rowOff>321468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Subscription Type">
              <a:extLst>
                <a:ext uri="{FF2B5EF4-FFF2-40B4-BE49-F238E27FC236}">
                  <a16:creationId xmlns:a16="http://schemas.microsoft.com/office/drawing/2014/main" id="{023CBBD0-30A1-4BE8-ABF1-D3BED2CD9FD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23148"/>
              <a:ext cx="1828800" cy="136361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10887</xdr:colOff>
      <xdr:row>4</xdr:row>
      <xdr:rowOff>39866</xdr:rowOff>
    </xdr:from>
    <xdr:to>
      <xdr:col>9</xdr:col>
      <xdr:colOff>68036</xdr:colOff>
      <xdr:row>8</xdr:row>
      <xdr:rowOff>1484</xdr:rowOff>
    </xdr:to>
    <xdr:grpSp>
      <xdr:nvGrpSpPr>
        <xdr:cNvPr id="16" name="Agrupar 15">
          <a:extLst>
            <a:ext uri="{FF2B5EF4-FFF2-40B4-BE49-F238E27FC236}">
              <a16:creationId xmlns:a16="http://schemas.microsoft.com/office/drawing/2014/main" id="{1629B8F3-26F2-56A3-8D91-D117567FA16C}"/>
            </a:ext>
          </a:extLst>
        </xdr:cNvPr>
        <xdr:cNvGrpSpPr/>
      </xdr:nvGrpSpPr>
      <xdr:grpSpPr>
        <a:xfrm>
          <a:off x="2083975" y="1463013"/>
          <a:ext cx="4292973" cy="1418383"/>
          <a:chOff x="2087337" y="1464469"/>
          <a:chExt cx="4877818" cy="1404936"/>
        </a:xfrm>
      </xdr:grpSpPr>
      <xdr:grpSp>
        <xdr:nvGrpSpPr>
          <xdr:cNvPr id="15" name="Agrupar 14">
            <a:extLst>
              <a:ext uri="{FF2B5EF4-FFF2-40B4-BE49-F238E27FC236}">
                <a16:creationId xmlns:a16="http://schemas.microsoft.com/office/drawing/2014/main" id="{2533AAED-022B-1204-AA81-44A73932893E}"/>
              </a:ext>
            </a:extLst>
          </xdr:cNvPr>
          <xdr:cNvGrpSpPr/>
        </xdr:nvGrpSpPr>
        <xdr:grpSpPr>
          <a:xfrm>
            <a:off x="2087337" y="1464469"/>
            <a:ext cx="4877818" cy="1385887"/>
            <a:chOff x="2087337" y="1464469"/>
            <a:chExt cx="4877818" cy="1385887"/>
          </a:xfrm>
        </xdr:grpSpPr>
        <xdr:sp macro="" textlink="">
          <xdr:nvSpPr>
            <xdr:cNvPr id="10" name="Retângulo: Cantos Arredondados 9">
              <a:extLst>
                <a:ext uri="{FF2B5EF4-FFF2-40B4-BE49-F238E27FC236}">
                  <a16:creationId xmlns:a16="http://schemas.microsoft.com/office/drawing/2014/main" id="{D3D3AE43-6A90-971F-78FE-5A76DB51DE8E}"/>
                </a:ext>
              </a:extLst>
            </xdr:cNvPr>
            <xdr:cNvSpPr/>
          </xdr:nvSpPr>
          <xdr:spPr>
            <a:xfrm>
              <a:off x="2088354" y="1512093"/>
              <a:ext cx="4876801" cy="1338263"/>
            </a:xfrm>
            <a:prstGeom prst="roundRect">
              <a:avLst>
                <a:gd name="adj" fmla="val 10473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14" name="Retângulo: Cantos Superiores Arredondados 13">
              <a:extLst>
                <a:ext uri="{FF2B5EF4-FFF2-40B4-BE49-F238E27FC236}">
                  <a16:creationId xmlns:a16="http://schemas.microsoft.com/office/drawing/2014/main" id="{32E1A383-7335-2BFB-934E-C64F15340DAC}"/>
                </a:ext>
              </a:extLst>
            </xdr:cNvPr>
            <xdr:cNvSpPr/>
          </xdr:nvSpPr>
          <xdr:spPr>
            <a:xfrm>
              <a:off x="2087337" y="1464469"/>
              <a:ext cx="4876800" cy="312624"/>
            </a:xfrm>
            <a:prstGeom prst="round2SameRect">
              <a:avLst>
                <a:gd name="adj1" fmla="val 50000"/>
                <a:gd name="adj2" fmla="val 0"/>
              </a:avLst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EA PLAY SEASON PASS</a:t>
              </a:r>
            </a:p>
          </xdr:txBody>
        </xdr:sp>
      </xdr:grpSp>
      <xdr:sp macro="" textlink="C̳álculos!E24">
        <xdr:nvSpPr>
          <xdr:cNvPr id="11" name="Retângulo: Cantos Arredondados 10">
            <a:extLst>
              <a:ext uri="{FF2B5EF4-FFF2-40B4-BE49-F238E27FC236}">
                <a16:creationId xmlns:a16="http://schemas.microsoft.com/office/drawing/2014/main" id="{2C6AC272-CD2D-4F1E-8C64-AA17AA5399A9}"/>
              </a:ext>
            </a:extLst>
          </xdr:cNvPr>
          <xdr:cNvSpPr/>
        </xdr:nvSpPr>
        <xdr:spPr>
          <a:xfrm>
            <a:off x="3733800" y="1772840"/>
            <a:ext cx="2972543" cy="981075"/>
          </a:xfrm>
          <a:prstGeom prst="roundRect">
            <a:avLst>
              <a:gd name="adj" fmla="val 5163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E028BA41-4CD1-4F49-B741-600C79206272}" type="TxLink">
              <a:rPr lang="en-US" sz="3200" b="0" i="0" u="none" strike="noStrike">
                <a:solidFill>
                  <a:srgbClr val="22C55E"/>
                </a:solidFill>
                <a:latin typeface="Aptos Narrow"/>
              </a:rPr>
              <a:pPr algn="ctr"/>
              <a:t> R$ 600,00 </a:t>
            </a:fld>
            <a:endParaRPr lang="pt-BR" sz="3200">
              <a:solidFill>
                <a:srgbClr val="22C55E"/>
              </a:solidFill>
            </a:endParaRPr>
          </a:p>
        </xdr:txBody>
      </xdr:sp>
      <xdr:pic>
        <xdr:nvPicPr>
          <xdr:cNvPr id="13" name="Imagem 12">
            <a:extLst>
              <a:ext uri="{FF2B5EF4-FFF2-40B4-BE49-F238E27FC236}">
                <a16:creationId xmlns:a16="http://schemas.microsoft.com/office/drawing/2014/main" id="{893B2264-A602-45B6-8173-121C777B25D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19360" y="1657349"/>
            <a:ext cx="1223963" cy="1212056"/>
          </a:xfrm>
          <a:prstGeom prst="rect">
            <a:avLst/>
          </a:prstGeom>
        </xdr:spPr>
      </xdr:pic>
    </xdr:grpSp>
    <xdr:clientData/>
  </xdr:twoCellAnchor>
  <xdr:twoCellAnchor>
    <xdr:from>
      <xdr:col>10</xdr:col>
      <xdr:colOff>122465</xdr:colOff>
      <xdr:row>4</xdr:row>
      <xdr:rowOff>53083</xdr:rowOff>
    </xdr:from>
    <xdr:to>
      <xdr:col>18</xdr:col>
      <xdr:colOff>163285</xdr:colOff>
      <xdr:row>7</xdr:row>
      <xdr:rowOff>410088</xdr:rowOff>
    </xdr:to>
    <xdr:grpSp>
      <xdr:nvGrpSpPr>
        <xdr:cNvPr id="35" name="Agrupar 34">
          <a:extLst>
            <a:ext uri="{FF2B5EF4-FFF2-40B4-BE49-F238E27FC236}">
              <a16:creationId xmlns:a16="http://schemas.microsoft.com/office/drawing/2014/main" id="{9A83ECA9-0CF9-BF2E-DF63-A89AB02DDB96}"/>
            </a:ext>
          </a:extLst>
        </xdr:cNvPr>
        <xdr:cNvGrpSpPr/>
      </xdr:nvGrpSpPr>
      <xdr:grpSpPr>
        <a:xfrm>
          <a:off x="7036494" y="1476230"/>
          <a:ext cx="4713673" cy="1399152"/>
          <a:chOff x="7872933" y="1466620"/>
          <a:chExt cx="4890784" cy="1377541"/>
        </a:xfrm>
      </xdr:grpSpPr>
      <xdr:grpSp>
        <xdr:nvGrpSpPr>
          <xdr:cNvPr id="24" name="Agrupar 23">
            <a:extLst>
              <a:ext uri="{FF2B5EF4-FFF2-40B4-BE49-F238E27FC236}">
                <a16:creationId xmlns:a16="http://schemas.microsoft.com/office/drawing/2014/main" id="{ED5AABDF-7E1E-3BF8-D095-8BDA5A1D2B98}"/>
              </a:ext>
            </a:extLst>
          </xdr:cNvPr>
          <xdr:cNvGrpSpPr/>
        </xdr:nvGrpSpPr>
        <xdr:grpSpPr>
          <a:xfrm>
            <a:off x="7872933" y="1466620"/>
            <a:ext cx="4890784" cy="1377541"/>
            <a:chOff x="2087337" y="1464469"/>
            <a:chExt cx="4877818" cy="1385887"/>
          </a:xfrm>
        </xdr:grpSpPr>
        <xdr:sp macro="" textlink="">
          <xdr:nvSpPr>
            <xdr:cNvPr id="27" name="Retângulo: Cantos Arredondados 26">
              <a:extLst>
                <a:ext uri="{FF2B5EF4-FFF2-40B4-BE49-F238E27FC236}">
                  <a16:creationId xmlns:a16="http://schemas.microsoft.com/office/drawing/2014/main" id="{36094254-D387-8899-62BD-B66AA857A132}"/>
                </a:ext>
              </a:extLst>
            </xdr:cNvPr>
            <xdr:cNvSpPr/>
          </xdr:nvSpPr>
          <xdr:spPr>
            <a:xfrm>
              <a:off x="2088354" y="1512093"/>
              <a:ext cx="4876801" cy="1338263"/>
            </a:xfrm>
            <a:prstGeom prst="roundRect">
              <a:avLst>
                <a:gd name="adj" fmla="val 10473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8" name="Retângulo: Cantos Superiores Arredondados 27">
              <a:extLst>
                <a:ext uri="{FF2B5EF4-FFF2-40B4-BE49-F238E27FC236}">
                  <a16:creationId xmlns:a16="http://schemas.microsoft.com/office/drawing/2014/main" id="{F560A4C7-356D-AED1-F744-238B1CE65F7C}"/>
                </a:ext>
              </a:extLst>
            </xdr:cNvPr>
            <xdr:cNvSpPr/>
          </xdr:nvSpPr>
          <xdr:spPr>
            <a:xfrm>
              <a:off x="2087337" y="1464469"/>
              <a:ext cx="4876800" cy="312624"/>
            </a:xfrm>
            <a:prstGeom prst="round2SameRect">
              <a:avLst>
                <a:gd name="adj1" fmla="val 50000"/>
                <a:gd name="adj2" fmla="val 0"/>
              </a:avLst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sp macro="" textlink="C̳álculos!E36">
        <xdr:nvSpPr>
          <xdr:cNvPr id="25" name="Retângulo: Cantos Arredondados 24">
            <a:extLst>
              <a:ext uri="{FF2B5EF4-FFF2-40B4-BE49-F238E27FC236}">
                <a16:creationId xmlns:a16="http://schemas.microsoft.com/office/drawing/2014/main" id="{BE3CD5A5-5A82-8318-FC37-774DA07A0D87}"/>
              </a:ext>
            </a:extLst>
          </xdr:cNvPr>
          <xdr:cNvSpPr/>
        </xdr:nvSpPr>
        <xdr:spPr>
          <a:xfrm>
            <a:off x="9523773" y="1773134"/>
            <a:ext cx="2980444" cy="975167"/>
          </a:xfrm>
          <a:prstGeom prst="roundRect">
            <a:avLst>
              <a:gd name="adj" fmla="val 5163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42E6B7A3-1510-49F4-BE03-EF2AA52BDCEB}" type="TxLink">
              <a:rPr lang="en-US" sz="3200" b="0" i="0" u="none" strike="noStrike">
                <a:solidFill>
                  <a:srgbClr val="22C55E"/>
                </a:solidFill>
                <a:latin typeface="+mn-lt"/>
                <a:cs typeface="Segoe UI" panose="020B0502040204020203" pitchFamily="34" charset="0"/>
              </a:rPr>
              <a:pPr algn="ctr"/>
              <a:t> R$ 940,00 </a:t>
            </a:fld>
            <a:endParaRPr lang="pt-BR" sz="3200">
              <a:solidFill>
                <a:srgbClr val="22C55E"/>
              </a:solidFill>
              <a:latin typeface="+mn-lt"/>
              <a:cs typeface="Segoe UI" panose="020B0502040204020203" pitchFamily="34" charset="0"/>
            </a:endParaRPr>
          </a:p>
        </xdr:txBody>
      </xdr:sp>
      <xdr:grpSp>
        <xdr:nvGrpSpPr>
          <xdr:cNvPr id="29" name="Agrupar 28">
            <a:extLst>
              <a:ext uri="{FF2B5EF4-FFF2-40B4-BE49-F238E27FC236}">
                <a16:creationId xmlns:a16="http://schemas.microsoft.com/office/drawing/2014/main" id="{BFC8459C-E37B-4544-8769-C588601DDCC2}"/>
              </a:ext>
            </a:extLst>
          </xdr:cNvPr>
          <xdr:cNvGrpSpPr/>
        </xdr:nvGrpSpPr>
        <xdr:grpSpPr>
          <a:xfrm>
            <a:off x="8229921" y="1826551"/>
            <a:ext cx="1392730" cy="681991"/>
            <a:chOff x="3495675" y="5400674"/>
            <a:chExt cx="1549476" cy="752476"/>
          </a:xfrm>
        </xdr:grpSpPr>
        <xdr:pic>
          <xdr:nvPicPr>
            <xdr:cNvPr id="30" name="Imagem 29">
              <a:extLst>
                <a:ext uri="{FF2B5EF4-FFF2-40B4-BE49-F238E27FC236}">
                  <a16:creationId xmlns:a16="http://schemas.microsoft.com/office/drawing/2014/main" id="{FB0CDB34-02EF-5D2C-50A7-5A934EFA6EE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31" name="Gráfico 30">
              <a:extLst>
                <a:ext uri="{FF2B5EF4-FFF2-40B4-BE49-F238E27FC236}">
                  <a16:creationId xmlns:a16="http://schemas.microsoft.com/office/drawing/2014/main" id="{FE0642E7-BC35-2F04-EB30-DA838B43FA2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214312</xdr:colOff>
      <xdr:row>10</xdr:row>
      <xdr:rowOff>26193</xdr:rowOff>
    </xdr:from>
    <xdr:to>
      <xdr:col>18</xdr:col>
      <xdr:colOff>217714</xdr:colOff>
      <xdr:row>25</xdr:row>
      <xdr:rowOff>190499</xdr:rowOff>
    </xdr:to>
    <xdr:grpSp>
      <xdr:nvGrpSpPr>
        <xdr:cNvPr id="33" name="Agrupar 32">
          <a:extLst>
            <a:ext uri="{FF2B5EF4-FFF2-40B4-BE49-F238E27FC236}">
              <a16:creationId xmlns:a16="http://schemas.microsoft.com/office/drawing/2014/main" id="{873A6A5C-E798-5772-6A1D-D8A01006C901}"/>
            </a:ext>
          </a:extLst>
        </xdr:cNvPr>
        <xdr:cNvGrpSpPr/>
      </xdr:nvGrpSpPr>
      <xdr:grpSpPr>
        <a:xfrm>
          <a:off x="2052077" y="3287105"/>
          <a:ext cx="9752519" cy="3021806"/>
          <a:chOff x="2052637" y="3283743"/>
          <a:chExt cx="4960144" cy="3021806"/>
        </a:xfrm>
      </xdr:grpSpPr>
      <xdr:grpSp>
        <xdr:nvGrpSpPr>
          <xdr:cNvPr id="9" name="Agrupar 8">
            <a:extLst>
              <a:ext uri="{FF2B5EF4-FFF2-40B4-BE49-F238E27FC236}">
                <a16:creationId xmlns:a16="http://schemas.microsoft.com/office/drawing/2014/main" id="{B598A145-F92C-5261-7BA1-5F161EA103D1}"/>
              </a:ext>
            </a:extLst>
          </xdr:cNvPr>
          <xdr:cNvGrpSpPr/>
        </xdr:nvGrpSpPr>
        <xdr:grpSpPr>
          <a:xfrm>
            <a:off x="2052637" y="3340893"/>
            <a:ext cx="4960144" cy="2964656"/>
            <a:chOff x="2202656" y="1238250"/>
            <a:chExt cx="4941094" cy="2964656"/>
          </a:xfrm>
        </xdr:grpSpPr>
        <xdr:sp macro="" textlink="">
          <xdr:nvSpPr>
            <xdr:cNvPr id="7" name="Retângulo: Cantos Arredondados 6">
              <a:extLst>
                <a:ext uri="{FF2B5EF4-FFF2-40B4-BE49-F238E27FC236}">
                  <a16:creationId xmlns:a16="http://schemas.microsoft.com/office/drawing/2014/main" id="{46DB08BD-E1A4-747F-E094-66EE0827045F}"/>
                </a:ext>
              </a:extLst>
            </xdr:cNvPr>
            <xdr:cNvSpPr/>
          </xdr:nvSpPr>
          <xdr:spPr>
            <a:xfrm>
              <a:off x="2202656" y="1238250"/>
              <a:ext cx="4941094" cy="2964656"/>
            </a:xfrm>
            <a:prstGeom prst="roundRect">
              <a:avLst>
                <a:gd name="adj" fmla="val 4217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u="sng"/>
            </a:p>
          </xdr:txBody>
        </xdr:sp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EF667D27-6542-4C67-AB16-57AF80E200C2}"/>
                </a:ext>
              </a:extLst>
            </xdr:cNvPr>
            <xdr:cNvGraphicFramePr>
              <a:graphicFrameLocks/>
            </xdr:cNvGraphicFramePr>
          </xdr:nvGraphicFramePr>
          <xdr:xfrm>
            <a:off x="2311773" y="1580029"/>
            <a:ext cx="4687279" cy="2533231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32" name="Retângulo: Cantos Superiores Arredondados 31">
            <a:extLst>
              <a:ext uri="{FF2B5EF4-FFF2-40B4-BE49-F238E27FC236}">
                <a16:creationId xmlns:a16="http://schemas.microsoft.com/office/drawing/2014/main" id="{5712FCB5-7C97-4BDB-9D37-9CF0063FDBBA}"/>
              </a:ext>
            </a:extLst>
          </xdr:cNvPr>
          <xdr:cNvSpPr/>
        </xdr:nvSpPr>
        <xdr:spPr>
          <a:xfrm>
            <a:off x="2052637" y="3283743"/>
            <a:ext cx="4956643" cy="315616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u="none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u="none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u="none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476250</xdr:colOff>
      <xdr:row>0</xdr:row>
      <xdr:rowOff>180975</xdr:rowOff>
    </xdr:from>
    <xdr:to>
      <xdr:col>0</xdr:col>
      <xdr:colOff>1171575</xdr:colOff>
      <xdr:row>2</xdr:row>
      <xdr:rowOff>190500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EF570B93-58D2-4FE2-B300-730C835C6DCE}"/>
            </a:ext>
          </a:extLst>
        </xdr:cNvPr>
        <xdr:cNvSpPr/>
      </xdr:nvSpPr>
      <xdr:spPr>
        <a:xfrm>
          <a:off x="476250" y="180975"/>
          <a:ext cx="695325" cy="6953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76200</xdr:colOff>
      <xdr:row>2</xdr:row>
      <xdr:rowOff>276225</xdr:rowOff>
    </xdr:from>
    <xdr:to>
      <xdr:col>0</xdr:col>
      <xdr:colOff>1724025</xdr:colOff>
      <xdr:row>3</xdr:row>
      <xdr:rowOff>276225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890BFD61-3FBC-4A23-4573-01BA4B808B4D}"/>
            </a:ext>
          </a:extLst>
        </xdr:cNvPr>
        <xdr:cNvSpPr/>
      </xdr:nvSpPr>
      <xdr:spPr>
        <a:xfrm>
          <a:off x="76200" y="962025"/>
          <a:ext cx="1647825" cy="304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/>
            <a:t>&gt; Hey,</a:t>
          </a:r>
          <a:r>
            <a:rPr lang="pt-BR" sz="1100" b="1" baseline="0"/>
            <a:t> Carol</a:t>
          </a:r>
          <a:endParaRPr lang="pt-BR" sz="1100" b="1"/>
        </a:p>
      </xdr:txBody>
    </xdr:sp>
    <xdr:clientData/>
  </xdr:twoCellAnchor>
  <xdr:twoCellAnchor editAs="absolute">
    <xdr:from>
      <xdr:col>2</xdr:col>
      <xdr:colOff>0</xdr:colOff>
      <xdr:row>3</xdr:row>
      <xdr:rowOff>0</xdr:rowOff>
    </xdr:from>
    <xdr:to>
      <xdr:col>9</xdr:col>
      <xdr:colOff>11206</xdr:colOff>
      <xdr:row>3</xdr:row>
      <xdr:rowOff>302559</xdr:rowOff>
    </xdr:to>
    <xdr:sp macro="" textlink="">
      <xdr:nvSpPr>
        <xdr:cNvPr id="18" name="Retângulo 17">
          <a:extLst>
            <a:ext uri="{FF2B5EF4-FFF2-40B4-BE49-F238E27FC236}">
              <a16:creationId xmlns:a16="http://schemas.microsoft.com/office/drawing/2014/main" id="{B78A9717-B639-488C-B88C-D53E17523FC8}"/>
            </a:ext>
          </a:extLst>
        </xdr:cNvPr>
        <xdr:cNvSpPr/>
      </xdr:nvSpPr>
      <xdr:spPr>
        <a:xfrm>
          <a:off x="2073088" y="986118"/>
          <a:ext cx="4247030" cy="30255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1">
              <a:solidFill>
                <a:schemeClr val="bg1">
                  <a:lumMod val="65000"/>
                </a:schemeClr>
              </a:solidFill>
            </a:rPr>
            <a:t>Calculation</a:t>
          </a:r>
          <a:r>
            <a:rPr lang="pt-BR" sz="1050" b="1" baseline="0">
              <a:solidFill>
                <a:schemeClr val="bg1">
                  <a:lumMod val="65000"/>
                </a:schemeClr>
              </a:solidFill>
            </a:rPr>
            <a:t> period</a:t>
          </a:r>
          <a:r>
            <a:rPr lang="pt-BR" sz="1050" b="1">
              <a:solidFill>
                <a:schemeClr val="bg1">
                  <a:lumMod val="65000"/>
                </a:schemeClr>
              </a:solidFill>
            </a:rPr>
            <a:t>:</a:t>
          </a:r>
          <a:r>
            <a:rPr lang="pt-BR" sz="1050" b="1" baseline="0">
              <a:solidFill>
                <a:schemeClr val="bg1">
                  <a:lumMod val="65000"/>
                </a:schemeClr>
              </a:solidFill>
            </a:rPr>
            <a:t> </a:t>
          </a:r>
          <a:r>
            <a:rPr lang="pt-BR" sz="1050" b="1">
              <a:solidFill>
                <a:schemeClr val="bg1">
                  <a:lumMod val="65000"/>
                </a:schemeClr>
              </a:solidFill>
            </a:rPr>
            <a:t>01/01/2024</a:t>
          </a:r>
          <a:r>
            <a:rPr lang="pt-BR" sz="1050" b="1" baseline="0">
              <a:solidFill>
                <a:schemeClr val="bg1">
                  <a:lumMod val="65000"/>
                </a:schemeClr>
              </a:solidFill>
            </a:rPr>
            <a:t> - 31/12/2024 / Update date 16/01/2026</a:t>
          </a:r>
          <a:endParaRPr lang="pt-BR" sz="1050" b="1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uardo" refreshedDate="46037.642035300923" createdVersion="8" refreshedVersion="8" minRefreshableVersion="3" recordCount="295" xr:uid="{19DD7433-B6D6-4279-B800-80431414411A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18805902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65154D-B361-476B-9375-2AE23928AD62}" name="tbl_easeasonpass_total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B20:C2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30FED2-D004-41A9-BEF2-6132ACDAAEA3}" name="tbl_anual_total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B9:C12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3"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7261BA-D4E7-4FCC-BBAC-71D23C6C9C61}" name="Tabela dinâmica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EF5EDC71-78BE-46A8-BADB-186AA561AA92}" sourceName="Subscription Type">
  <pivotTables>
    <pivotTable tabId="3" name="tbl_anual_total"/>
    <pivotTable tabId="3" name="tbl_easeasonpass_total"/>
    <pivotTable tabId="3" name="Tabela dinâmica4"/>
  </pivotTables>
  <data>
    <tabular pivotCacheId="1188059024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0167941C-3DDD-447F-BBBC-F3A08D150D7D}" cache="SegmentaçãodeDados_Subscription_Type" caption="Subscription Type" style="SlicerStyleLight3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6" sqref="B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sqref="A1:M294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7:E36"/>
  <sheetViews>
    <sheetView showGridLines="0" topLeftCell="A13" zoomScaleNormal="100" workbookViewId="0">
      <selection activeCell="E36" sqref="E36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18.85546875" customWidth="1"/>
    <col min="5" max="5" width="14.140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7" spans="2:3" x14ac:dyDescent="0.25">
      <c r="B7" s="12" t="s">
        <v>16</v>
      </c>
      <c r="C7" t="s">
        <v>24</v>
      </c>
    </row>
    <row r="9" spans="2:3" x14ac:dyDescent="0.25">
      <c r="B9" s="12" t="s">
        <v>313</v>
      </c>
      <c r="C9" t="s">
        <v>315</v>
      </c>
    </row>
    <row r="10" spans="2:3" x14ac:dyDescent="0.25">
      <c r="B10" s="13" t="s">
        <v>23</v>
      </c>
      <c r="C10" s="14">
        <v>217</v>
      </c>
    </row>
    <row r="11" spans="2:3" x14ac:dyDescent="0.25">
      <c r="B11" s="13" t="s">
        <v>19</v>
      </c>
      <c r="C11" s="14">
        <v>1537</v>
      </c>
    </row>
    <row r="12" spans="2:3" x14ac:dyDescent="0.25">
      <c r="B12" s="13" t="s">
        <v>314</v>
      </c>
      <c r="C12" s="14">
        <v>1754</v>
      </c>
    </row>
    <row r="18" spans="2:5" x14ac:dyDescent="0.25">
      <c r="B18" s="12" t="s">
        <v>16</v>
      </c>
      <c r="C18" t="s">
        <v>24</v>
      </c>
    </row>
    <row r="20" spans="2:5" x14ac:dyDescent="0.25">
      <c r="B20" s="12" t="s">
        <v>313</v>
      </c>
      <c r="C20" t="s">
        <v>317</v>
      </c>
    </row>
    <row r="21" spans="2:5" x14ac:dyDescent="0.25">
      <c r="B21" s="13" t="s">
        <v>22</v>
      </c>
      <c r="C21" s="19">
        <v>0</v>
      </c>
    </row>
    <row r="22" spans="2:5" x14ac:dyDescent="0.25">
      <c r="B22" s="13" t="s">
        <v>26</v>
      </c>
      <c r="C22" s="19">
        <v>0</v>
      </c>
    </row>
    <row r="23" spans="2:5" x14ac:dyDescent="0.25">
      <c r="B23" s="13" t="s">
        <v>18</v>
      </c>
      <c r="C23" s="19">
        <v>600</v>
      </c>
    </row>
    <row r="24" spans="2:5" x14ac:dyDescent="0.25">
      <c r="B24" s="13" t="s">
        <v>314</v>
      </c>
      <c r="C24" s="19">
        <v>600</v>
      </c>
      <c r="E24" s="16">
        <f>GETPIVOTDATA("EA Play Season Pass
Price",$B$20)</f>
        <v>600</v>
      </c>
    </row>
    <row r="30" spans="2:5" x14ac:dyDescent="0.25">
      <c r="B30" s="12" t="s">
        <v>16</v>
      </c>
      <c r="C30" t="s">
        <v>24</v>
      </c>
    </row>
    <row r="32" spans="2:5" x14ac:dyDescent="0.25">
      <c r="B32" s="12" t="s">
        <v>313</v>
      </c>
      <c r="C32" t="s">
        <v>318</v>
      </c>
    </row>
    <row r="33" spans="2:5" x14ac:dyDescent="0.25">
      <c r="B33" s="13" t="s">
        <v>22</v>
      </c>
      <c r="C33" s="14">
        <v>0</v>
      </c>
    </row>
    <row r="34" spans="2:5" x14ac:dyDescent="0.25">
      <c r="B34" s="13" t="s">
        <v>26</v>
      </c>
      <c r="C34" s="14">
        <v>540</v>
      </c>
    </row>
    <row r="35" spans="2:5" x14ac:dyDescent="0.25">
      <c r="B35" s="13" t="s">
        <v>18</v>
      </c>
      <c r="C35" s="14">
        <v>400</v>
      </c>
    </row>
    <row r="36" spans="2:5" x14ac:dyDescent="0.25">
      <c r="B36" s="13" t="s">
        <v>314</v>
      </c>
      <c r="C36" s="14">
        <v>940</v>
      </c>
      <c r="E36" s="16">
        <f>GETPIVOTDATA("Minecraft Season Pass Price",$B$32)</f>
        <v>940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AZ401"/>
  <sheetViews>
    <sheetView showGridLines="0" showRowColHeaders="0" tabSelected="1" zoomScale="85" zoomScaleNormal="85" workbookViewId="0">
      <selection activeCell="H31" sqref="H31"/>
    </sheetView>
  </sheetViews>
  <sheetFormatPr defaultRowHeight="15" x14ac:dyDescent="0.25"/>
  <cols>
    <col min="1" max="1" width="27.5703125" style="4" customWidth="1"/>
    <col min="2" max="2" width="3.5703125" customWidth="1"/>
    <col min="12" max="12" width="6.5703125" customWidth="1"/>
  </cols>
  <sheetData>
    <row r="2" spans="2:52" ht="39" customHeight="1" thickBot="1" x14ac:dyDescent="0.5">
      <c r="C2" s="18" t="s">
        <v>316</v>
      </c>
      <c r="D2" s="15"/>
      <c r="E2" s="15"/>
      <c r="F2" s="15"/>
      <c r="G2" s="15"/>
      <c r="H2" s="15"/>
      <c r="I2" s="15"/>
      <c r="J2" s="15"/>
      <c r="K2" s="15"/>
      <c r="L2" s="17"/>
      <c r="M2" s="17"/>
      <c r="N2" s="17"/>
      <c r="O2" s="17"/>
      <c r="P2" s="17"/>
      <c r="Q2" s="17"/>
      <c r="R2" s="17"/>
      <c r="S2" s="17"/>
    </row>
    <row r="3" spans="2:52" ht="24" customHeight="1" thickTop="1" x14ac:dyDescent="0.25"/>
    <row r="4" spans="2:52" ht="34.5" customHeight="1" x14ac:dyDescent="0.25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</row>
    <row r="5" spans="2:52" ht="27" customHeight="1" x14ac:dyDescent="0.25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</row>
    <row r="6" spans="2:52" ht="27" customHeight="1" x14ac:dyDescent="0.25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</row>
    <row r="7" spans="2:52" ht="27" customHeight="1" x14ac:dyDescent="0.25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</row>
    <row r="8" spans="2:52" ht="33" customHeight="1" x14ac:dyDescent="0.25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</row>
    <row r="9" spans="2:52" x14ac:dyDescent="0.25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</row>
    <row r="10" spans="2:52" x14ac:dyDescent="0.25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</row>
    <row r="11" spans="2:52" x14ac:dyDescent="0.25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</row>
    <row r="12" spans="2:52" x14ac:dyDescent="0.25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</row>
    <row r="13" spans="2:52" x14ac:dyDescent="0.25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</row>
    <row r="14" spans="2:52" x14ac:dyDescent="0.25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</row>
    <row r="15" spans="2:52" x14ac:dyDescent="0.25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</row>
    <row r="16" spans="2:52" x14ac:dyDescent="0.25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</row>
    <row r="17" spans="2:52" x14ac:dyDescent="0.25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</row>
    <row r="18" spans="2:52" x14ac:dyDescent="0.25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</row>
    <row r="19" spans="2:52" x14ac:dyDescent="0.25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</row>
    <row r="20" spans="2:52" x14ac:dyDescent="0.2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</row>
    <row r="21" spans="2:52" x14ac:dyDescent="0.2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</row>
    <row r="22" spans="2:52" x14ac:dyDescent="0.2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</row>
    <row r="23" spans="2:52" x14ac:dyDescent="0.2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</row>
    <row r="24" spans="2:52" x14ac:dyDescent="0.2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</row>
    <row r="25" spans="2:52" x14ac:dyDescent="0.2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</row>
    <row r="26" spans="2:52" x14ac:dyDescent="0.2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</row>
    <row r="27" spans="2:52" x14ac:dyDescent="0.2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</row>
    <row r="28" spans="2:52" x14ac:dyDescent="0.2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</row>
    <row r="29" spans="2:52" x14ac:dyDescent="0.2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</row>
    <row r="30" spans="2:52" x14ac:dyDescent="0.2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</row>
    <row r="31" spans="2:52" x14ac:dyDescent="0.25">
      <c r="B31" s="7"/>
      <c r="C31" s="7"/>
      <c r="D31" s="7"/>
      <c r="E31" s="7"/>
      <c r="F31" s="7"/>
      <c r="G31" s="7"/>
      <c r="H31" s="20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</row>
    <row r="32" spans="2:52" x14ac:dyDescent="0.2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</row>
    <row r="33" spans="2:52" x14ac:dyDescent="0.25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</row>
    <row r="34" spans="2:52" x14ac:dyDescent="0.25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</row>
    <row r="35" spans="2:52" x14ac:dyDescent="0.25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</row>
    <row r="36" spans="2:52" x14ac:dyDescent="0.25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</row>
    <row r="37" spans="2:52" x14ac:dyDescent="0.25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</row>
    <row r="38" spans="2:52" x14ac:dyDescent="0.25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</row>
    <row r="39" spans="2:52" x14ac:dyDescent="0.25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</row>
    <row r="40" spans="2:52" x14ac:dyDescent="0.25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</row>
    <row r="41" spans="2:52" x14ac:dyDescent="0.2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</row>
    <row r="42" spans="2:52" x14ac:dyDescent="0.25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</row>
    <row r="43" spans="2:52" x14ac:dyDescent="0.25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</row>
    <row r="44" spans="2:52" x14ac:dyDescent="0.25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</row>
    <row r="45" spans="2:52" x14ac:dyDescent="0.25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</row>
    <row r="46" spans="2:52" x14ac:dyDescent="0.25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</row>
    <row r="47" spans="2:52" x14ac:dyDescent="0.25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</row>
    <row r="48" spans="2:52" x14ac:dyDescent="0.25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</row>
    <row r="49" spans="2:52" x14ac:dyDescent="0.25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</row>
    <row r="50" spans="2:52" x14ac:dyDescent="0.25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</row>
    <row r="51" spans="2:52" x14ac:dyDescent="0.25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</row>
    <row r="52" spans="2:52" x14ac:dyDescent="0.25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</row>
    <row r="53" spans="2:52" x14ac:dyDescent="0.25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</row>
    <row r="54" spans="2:52" x14ac:dyDescent="0.25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</row>
    <row r="55" spans="2:52" x14ac:dyDescent="0.25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</row>
    <row r="56" spans="2:52" x14ac:dyDescent="0.25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</row>
    <row r="57" spans="2:52" x14ac:dyDescent="0.25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</row>
    <row r="58" spans="2:52" x14ac:dyDescent="0.25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</row>
    <row r="59" spans="2:52" x14ac:dyDescent="0.25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</row>
    <row r="60" spans="2:52" x14ac:dyDescent="0.25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</row>
    <row r="61" spans="2:52" x14ac:dyDescent="0.25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</row>
    <row r="62" spans="2:52" x14ac:dyDescent="0.25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</row>
    <row r="63" spans="2:52" x14ac:dyDescent="0.25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</row>
    <row r="64" spans="2:52" x14ac:dyDescent="0.25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</row>
    <row r="65" spans="2:52" x14ac:dyDescent="0.25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</row>
    <row r="66" spans="2:52" x14ac:dyDescent="0.25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</row>
    <row r="67" spans="2:52" x14ac:dyDescent="0.25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</row>
    <row r="68" spans="2:52" x14ac:dyDescent="0.25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</row>
    <row r="69" spans="2:52" x14ac:dyDescent="0.25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</row>
    <row r="70" spans="2:52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</row>
    <row r="71" spans="2:52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</row>
    <row r="72" spans="2:52" x14ac:dyDescent="0.25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</row>
    <row r="73" spans="2:52" x14ac:dyDescent="0.25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</row>
    <row r="74" spans="2:52" x14ac:dyDescent="0.25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</row>
    <row r="75" spans="2:52" x14ac:dyDescent="0.25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</row>
    <row r="76" spans="2:52" x14ac:dyDescent="0.25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</row>
    <row r="77" spans="2:52" x14ac:dyDescent="0.25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</row>
    <row r="78" spans="2:52" x14ac:dyDescent="0.25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</row>
    <row r="79" spans="2:52" x14ac:dyDescent="0.25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</row>
    <row r="80" spans="2:52" x14ac:dyDescent="0.25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</row>
    <row r="81" spans="2:52" x14ac:dyDescent="0.25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</row>
    <row r="82" spans="2:52" x14ac:dyDescent="0.25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</row>
    <row r="83" spans="2:52" x14ac:dyDescent="0.25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</row>
    <row r="84" spans="2:52" x14ac:dyDescent="0.25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</row>
    <row r="85" spans="2:52" x14ac:dyDescent="0.25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</row>
    <row r="86" spans="2:52" x14ac:dyDescent="0.25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</row>
    <row r="87" spans="2:52" x14ac:dyDescent="0.25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</row>
    <row r="88" spans="2:52" x14ac:dyDescent="0.25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</row>
    <row r="89" spans="2:52" x14ac:dyDescent="0.25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</row>
    <row r="90" spans="2:52" x14ac:dyDescent="0.25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</row>
    <row r="91" spans="2:52" x14ac:dyDescent="0.25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</row>
    <row r="92" spans="2:52" x14ac:dyDescent="0.25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</row>
    <row r="93" spans="2:52" x14ac:dyDescent="0.25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</row>
    <row r="94" spans="2:52" x14ac:dyDescent="0.25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</row>
    <row r="95" spans="2:52" x14ac:dyDescent="0.25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</row>
    <row r="96" spans="2:52" x14ac:dyDescent="0.25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</row>
    <row r="97" spans="2:52" x14ac:dyDescent="0.25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</row>
    <row r="98" spans="2:52" x14ac:dyDescent="0.25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</row>
    <row r="99" spans="2:52" x14ac:dyDescent="0.25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</row>
    <row r="100" spans="2:52" x14ac:dyDescent="0.25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</row>
    <row r="101" spans="2:52" x14ac:dyDescent="0.25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</row>
    <row r="102" spans="2:52" x14ac:dyDescent="0.25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</row>
    <row r="103" spans="2:52" x14ac:dyDescent="0.25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</row>
    <row r="104" spans="2:52" x14ac:dyDescent="0.25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</row>
    <row r="105" spans="2:52" x14ac:dyDescent="0.25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</row>
    <row r="106" spans="2:52" x14ac:dyDescent="0.25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</row>
    <row r="107" spans="2:52" x14ac:dyDescent="0.25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</row>
    <row r="108" spans="2:52" x14ac:dyDescent="0.25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</row>
    <row r="109" spans="2:52" x14ac:dyDescent="0.25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</row>
    <row r="110" spans="2:52" x14ac:dyDescent="0.25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</row>
    <row r="111" spans="2:52" x14ac:dyDescent="0.25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</row>
    <row r="112" spans="2:52" x14ac:dyDescent="0.25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</row>
    <row r="113" spans="2:52" x14ac:dyDescent="0.25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</row>
    <row r="114" spans="2:52" x14ac:dyDescent="0.25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</row>
    <row r="115" spans="2:52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</row>
    <row r="116" spans="2:52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</row>
    <row r="117" spans="2:52" x14ac:dyDescent="0.25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</row>
    <row r="118" spans="2:52" x14ac:dyDescent="0.25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</row>
    <row r="119" spans="2:52" x14ac:dyDescent="0.25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</row>
    <row r="120" spans="2:52" x14ac:dyDescent="0.25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</row>
    <row r="121" spans="2:52" x14ac:dyDescent="0.25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</row>
    <row r="122" spans="2:52" x14ac:dyDescent="0.25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</row>
    <row r="123" spans="2:52" x14ac:dyDescent="0.25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</row>
    <row r="124" spans="2:52" x14ac:dyDescent="0.25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</row>
    <row r="125" spans="2:52" x14ac:dyDescent="0.25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</row>
    <row r="126" spans="2:52" x14ac:dyDescent="0.25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</row>
    <row r="127" spans="2:52" x14ac:dyDescent="0.25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</row>
    <row r="128" spans="2:52" x14ac:dyDescent="0.25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</row>
    <row r="129" spans="2:52" x14ac:dyDescent="0.25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</row>
    <row r="130" spans="2:52" x14ac:dyDescent="0.25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</row>
    <row r="131" spans="2:52" x14ac:dyDescent="0.25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</row>
    <row r="132" spans="2:52" x14ac:dyDescent="0.25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</row>
    <row r="133" spans="2:52" x14ac:dyDescent="0.25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</row>
    <row r="134" spans="2:52" x14ac:dyDescent="0.25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</row>
    <row r="135" spans="2:52" x14ac:dyDescent="0.25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</row>
    <row r="136" spans="2:52" x14ac:dyDescent="0.25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</row>
    <row r="137" spans="2:52" x14ac:dyDescent="0.25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</row>
    <row r="138" spans="2:52" x14ac:dyDescent="0.25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</row>
    <row r="139" spans="2:52" x14ac:dyDescent="0.25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</row>
    <row r="140" spans="2:52" x14ac:dyDescent="0.25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</row>
    <row r="141" spans="2:52" x14ac:dyDescent="0.25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</row>
    <row r="142" spans="2:52" x14ac:dyDescent="0.25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</row>
    <row r="143" spans="2:52" x14ac:dyDescent="0.25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</row>
    <row r="144" spans="2:52" x14ac:dyDescent="0.25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</row>
    <row r="145" spans="2:52" x14ac:dyDescent="0.25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</row>
    <row r="146" spans="2:52" x14ac:dyDescent="0.25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</row>
    <row r="147" spans="2:52" x14ac:dyDescent="0.25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</row>
    <row r="148" spans="2:52" x14ac:dyDescent="0.25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</row>
    <row r="149" spans="2:52" x14ac:dyDescent="0.25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</row>
    <row r="150" spans="2:52" x14ac:dyDescent="0.25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</row>
    <row r="151" spans="2:52" x14ac:dyDescent="0.25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</row>
    <row r="152" spans="2:52" x14ac:dyDescent="0.25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</row>
    <row r="153" spans="2:52" x14ac:dyDescent="0.25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</row>
    <row r="154" spans="2:52" x14ac:dyDescent="0.25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</row>
    <row r="155" spans="2:52" x14ac:dyDescent="0.25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</row>
    <row r="156" spans="2:52" x14ac:dyDescent="0.25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</row>
    <row r="157" spans="2:52" x14ac:dyDescent="0.25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</row>
    <row r="158" spans="2:52" x14ac:dyDescent="0.25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</row>
    <row r="159" spans="2:52" x14ac:dyDescent="0.25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</row>
    <row r="160" spans="2:52" x14ac:dyDescent="0.25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</row>
    <row r="161" spans="2:52" x14ac:dyDescent="0.25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</row>
    <row r="162" spans="2:52" x14ac:dyDescent="0.25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</row>
    <row r="163" spans="2:52" x14ac:dyDescent="0.25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</row>
    <row r="164" spans="2:52" x14ac:dyDescent="0.25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</row>
    <row r="165" spans="2:52" x14ac:dyDescent="0.25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</row>
    <row r="166" spans="2:52" x14ac:dyDescent="0.25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</row>
    <row r="167" spans="2:52" x14ac:dyDescent="0.25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</row>
    <row r="168" spans="2:52" x14ac:dyDescent="0.25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</row>
    <row r="169" spans="2:52" x14ac:dyDescent="0.25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</row>
    <row r="170" spans="2:52" x14ac:dyDescent="0.25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</row>
    <row r="171" spans="2:52" x14ac:dyDescent="0.25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</row>
    <row r="172" spans="2:52" x14ac:dyDescent="0.25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</row>
    <row r="173" spans="2:52" x14ac:dyDescent="0.25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</row>
    <row r="174" spans="2:52" x14ac:dyDescent="0.25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</row>
    <row r="175" spans="2:52" x14ac:dyDescent="0.25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</row>
    <row r="176" spans="2:52" x14ac:dyDescent="0.25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</row>
    <row r="177" spans="2:52" x14ac:dyDescent="0.25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</row>
    <row r="178" spans="2:52" x14ac:dyDescent="0.25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</row>
    <row r="179" spans="2:52" x14ac:dyDescent="0.25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</row>
    <row r="180" spans="2:52" x14ac:dyDescent="0.25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</row>
    <row r="181" spans="2:52" x14ac:dyDescent="0.25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</row>
    <row r="182" spans="2:52" x14ac:dyDescent="0.25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</row>
    <row r="183" spans="2:52" x14ac:dyDescent="0.25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</row>
    <row r="184" spans="2:52" x14ac:dyDescent="0.25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</row>
    <row r="185" spans="2:52" x14ac:dyDescent="0.25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</row>
    <row r="186" spans="2:52" x14ac:dyDescent="0.25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</row>
    <row r="187" spans="2:52" x14ac:dyDescent="0.25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</row>
    <row r="188" spans="2:52" x14ac:dyDescent="0.25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</row>
    <row r="189" spans="2:52" x14ac:dyDescent="0.25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</row>
    <row r="190" spans="2:52" x14ac:dyDescent="0.25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</row>
    <row r="191" spans="2:52" x14ac:dyDescent="0.25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</row>
    <row r="192" spans="2:52" x14ac:dyDescent="0.25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</row>
    <row r="193" spans="2:52" x14ac:dyDescent="0.25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</row>
    <row r="194" spans="2:52" x14ac:dyDescent="0.25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</row>
    <row r="195" spans="2:52" x14ac:dyDescent="0.25"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</row>
    <row r="196" spans="2:52" x14ac:dyDescent="0.25"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</row>
    <row r="197" spans="2:52" x14ac:dyDescent="0.25"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</row>
    <row r="198" spans="2:52" x14ac:dyDescent="0.25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</row>
    <row r="199" spans="2:52" x14ac:dyDescent="0.25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</row>
    <row r="200" spans="2:52" x14ac:dyDescent="0.25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</row>
    <row r="201" spans="2:52" x14ac:dyDescent="0.25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</row>
    <row r="202" spans="2:52" x14ac:dyDescent="0.25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</row>
    <row r="203" spans="2:52" x14ac:dyDescent="0.25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</row>
    <row r="204" spans="2:52" x14ac:dyDescent="0.25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</row>
    <row r="205" spans="2:52" x14ac:dyDescent="0.25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</row>
    <row r="206" spans="2:52" x14ac:dyDescent="0.25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</row>
    <row r="207" spans="2:52" x14ac:dyDescent="0.25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</row>
    <row r="208" spans="2:52" x14ac:dyDescent="0.25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</row>
    <row r="209" spans="2:52" x14ac:dyDescent="0.25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</row>
    <row r="210" spans="2:52" x14ac:dyDescent="0.25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</row>
    <row r="211" spans="2:52" x14ac:dyDescent="0.25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</row>
    <row r="212" spans="2:52" x14ac:dyDescent="0.25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</row>
    <row r="213" spans="2:52" x14ac:dyDescent="0.25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</row>
    <row r="214" spans="2:52" x14ac:dyDescent="0.25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</row>
    <row r="215" spans="2:52" x14ac:dyDescent="0.25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</row>
    <row r="216" spans="2:52" x14ac:dyDescent="0.25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</row>
    <row r="217" spans="2:52" x14ac:dyDescent="0.25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</row>
    <row r="218" spans="2:52" x14ac:dyDescent="0.25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</row>
    <row r="219" spans="2:52" x14ac:dyDescent="0.25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</row>
    <row r="220" spans="2:52" x14ac:dyDescent="0.25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</row>
    <row r="221" spans="2:52" x14ac:dyDescent="0.25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</row>
    <row r="222" spans="2:52" x14ac:dyDescent="0.25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</row>
    <row r="223" spans="2:52" x14ac:dyDescent="0.25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</row>
    <row r="224" spans="2:52" x14ac:dyDescent="0.25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</row>
    <row r="225" spans="2:52" x14ac:dyDescent="0.25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</row>
    <row r="226" spans="2:52" x14ac:dyDescent="0.25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</row>
    <row r="227" spans="2:52" x14ac:dyDescent="0.25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</row>
    <row r="228" spans="2:52" x14ac:dyDescent="0.25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</row>
    <row r="229" spans="2:52" x14ac:dyDescent="0.25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</row>
    <row r="230" spans="2:52" x14ac:dyDescent="0.25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</row>
    <row r="231" spans="2:52" x14ac:dyDescent="0.25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</row>
    <row r="232" spans="2:52" x14ac:dyDescent="0.25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</row>
    <row r="233" spans="2:52" x14ac:dyDescent="0.25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</row>
    <row r="234" spans="2:52" x14ac:dyDescent="0.25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</row>
    <row r="235" spans="2:52" x14ac:dyDescent="0.25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</row>
    <row r="236" spans="2:52" x14ac:dyDescent="0.25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</row>
    <row r="237" spans="2:52" x14ac:dyDescent="0.25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</row>
    <row r="238" spans="2:52" x14ac:dyDescent="0.25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</row>
    <row r="239" spans="2:52" x14ac:dyDescent="0.25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</row>
    <row r="240" spans="2:52" x14ac:dyDescent="0.25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</row>
    <row r="241" spans="2:52" x14ac:dyDescent="0.25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</row>
    <row r="242" spans="2:52" x14ac:dyDescent="0.25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</row>
    <row r="243" spans="2:52" x14ac:dyDescent="0.25"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</row>
    <row r="244" spans="2:52" x14ac:dyDescent="0.25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</row>
    <row r="245" spans="2:52" x14ac:dyDescent="0.25"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</row>
    <row r="246" spans="2:52" x14ac:dyDescent="0.25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</row>
    <row r="247" spans="2:52" x14ac:dyDescent="0.25"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</row>
    <row r="248" spans="2:52" x14ac:dyDescent="0.25"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</row>
    <row r="249" spans="2:52" x14ac:dyDescent="0.25"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</row>
    <row r="250" spans="2:52" x14ac:dyDescent="0.25"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</row>
    <row r="251" spans="2:52" x14ac:dyDescent="0.25"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</row>
    <row r="252" spans="2:52" x14ac:dyDescent="0.25"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</row>
    <row r="253" spans="2:52" x14ac:dyDescent="0.25"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</row>
    <row r="254" spans="2:52" x14ac:dyDescent="0.25"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</row>
    <row r="255" spans="2:52" x14ac:dyDescent="0.25"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</row>
    <row r="256" spans="2:52" x14ac:dyDescent="0.25"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</row>
    <row r="257" spans="2:52" x14ac:dyDescent="0.25"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</row>
    <row r="258" spans="2:52" x14ac:dyDescent="0.25"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</row>
    <row r="259" spans="2:52" x14ac:dyDescent="0.25"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</row>
    <row r="260" spans="2:52" x14ac:dyDescent="0.25"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</row>
    <row r="261" spans="2:52" x14ac:dyDescent="0.25"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</row>
    <row r="262" spans="2:52" x14ac:dyDescent="0.25"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</row>
    <row r="263" spans="2:52" x14ac:dyDescent="0.25"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</row>
    <row r="264" spans="2:52" x14ac:dyDescent="0.25"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</row>
    <row r="265" spans="2:52" x14ac:dyDescent="0.25"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</row>
    <row r="266" spans="2:52" x14ac:dyDescent="0.25"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</row>
    <row r="267" spans="2:52" x14ac:dyDescent="0.25"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</row>
    <row r="268" spans="2:52" x14ac:dyDescent="0.25"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</row>
    <row r="269" spans="2:52" x14ac:dyDescent="0.25"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</row>
    <row r="270" spans="2:52" x14ac:dyDescent="0.25"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</row>
    <row r="271" spans="2:52" x14ac:dyDescent="0.25"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</row>
    <row r="272" spans="2:52" x14ac:dyDescent="0.25"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</row>
    <row r="273" spans="2:52" x14ac:dyDescent="0.25"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</row>
    <row r="274" spans="2:52" x14ac:dyDescent="0.25"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</row>
    <row r="275" spans="2:52" x14ac:dyDescent="0.25"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</row>
    <row r="276" spans="2:52" x14ac:dyDescent="0.25"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</row>
    <row r="277" spans="2:52" x14ac:dyDescent="0.25"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</row>
    <row r="278" spans="2:52" x14ac:dyDescent="0.25"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</row>
    <row r="279" spans="2:52" x14ac:dyDescent="0.25"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</row>
    <row r="280" spans="2:52" x14ac:dyDescent="0.25"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</row>
    <row r="281" spans="2:52" x14ac:dyDescent="0.25"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</row>
    <row r="282" spans="2:52" x14ac:dyDescent="0.25"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</row>
    <row r="283" spans="2:52" x14ac:dyDescent="0.25"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</row>
    <row r="284" spans="2:52" x14ac:dyDescent="0.25"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</row>
    <row r="285" spans="2:52" x14ac:dyDescent="0.25"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</row>
    <row r="286" spans="2:52" x14ac:dyDescent="0.25"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</row>
    <row r="287" spans="2:52" x14ac:dyDescent="0.25"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</row>
    <row r="288" spans="2:52" x14ac:dyDescent="0.25"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</row>
    <row r="289" spans="2:52" x14ac:dyDescent="0.25"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</row>
    <row r="290" spans="2:52" x14ac:dyDescent="0.25"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</row>
    <row r="291" spans="2:52" x14ac:dyDescent="0.25"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</row>
    <row r="292" spans="2:52" x14ac:dyDescent="0.25"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</row>
    <row r="293" spans="2:52" x14ac:dyDescent="0.25"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</row>
    <row r="294" spans="2:52" x14ac:dyDescent="0.25"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</row>
    <row r="295" spans="2:52" x14ac:dyDescent="0.25"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</row>
    <row r="296" spans="2:52" x14ac:dyDescent="0.25"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</row>
    <row r="297" spans="2:52" x14ac:dyDescent="0.25"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</row>
    <row r="298" spans="2:52" x14ac:dyDescent="0.25"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</row>
    <row r="299" spans="2:52" x14ac:dyDescent="0.25"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</row>
    <row r="300" spans="2:52" x14ac:dyDescent="0.25"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</row>
    <row r="301" spans="2:52" x14ac:dyDescent="0.25"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</row>
    <row r="302" spans="2:52" x14ac:dyDescent="0.25"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</row>
    <row r="303" spans="2:52" x14ac:dyDescent="0.25"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</row>
    <row r="304" spans="2:52" x14ac:dyDescent="0.25"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</row>
    <row r="305" spans="2:52" x14ac:dyDescent="0.25"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</row>
    <row r="306" spans="2:52" x14ac:dyDescent="0.25"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</row>
    <row r="307" spans="2:52" x14ac:dyDescent="0.25"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</row>
    <row r="308" spans="2:52" x14ac:dyDescent="0.25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</row>
    <row r="309" spans="2:52" x14ac:dyDescent="0.25"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</row>
    <row r="310" spans="2:52" x14ac:dyDescent="0.25"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</row>
    <row r="311" spans="2:52" x14ac:dyDescent="0.25"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</row>
    <row r="312" spans="2:52" x14ac:dyDescent="0.25"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</row>
    <row r="313" spans="2:52" x14ac:dyDescent="0.25"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</row>
    <row r="314" spans="2:52" x14ac:dyDescent="0.25"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</row>
    <row r="315" spans="2:52" x14ac:dyDescent="0.25"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</row>
    <row r="316" spans="2:52" x14ac:dyDescent="0.25"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</row>
    <row r="317" spans="2:52" x14ac:dyDescent="0.25"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</row>
    <row r="318" spans="2:52" x14ac:dyDescent="0.25"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</row>
    <row r="319" spans="2:52" x14ac:dyDescent="0.25"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</row>
    <row r="320" spans="2:52" x14ac:dyDescent="0.25"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</row>
    <row r="321" spans="2:52" x14ac:dyDescent="0.25"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</row>
    <row r="322" spans="2:52" x14ac:dyDescent="0.25"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</row>
    <row r="323" spans="2:52" x14ac:dyDescent="0.25"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</row>
    <row r="324" spans="2:52" x14ac:dyDescent="0.25"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</row>
    <row r="325" spans="2:52" x14ac:dyDescent="0.25"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</row>
    <row r="326" spans="2:52" x14ac:dyDescent="0.25"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</row>
    <row r="327" spans="2:52" x14ac:dyDescent="0.25"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</row>
    <row r="328" spans="2:52" x14ac:dyDescent="0.25"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</row>
    <row r="329" spans="2:52" x14ac:dyDescent="0.25"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</row>
    <row r="330" spans="2:52" x14ac:dyDescent="0.25"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</row>
    <row r="331" spans="2:52" x14ac:dyDescent="0.25"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</row>
    <row r="332" spans="2:52" x14ac:dyDescent="0.25"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</row>
    <row r="333" spans="2:52" x14ac:dyDescent="0.25"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</row>
    <row r="334" spans="2:52" x14ac:dyDescent="0.25"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</row>
    <row r="335" spans="2:52" x14ac:dyDescent="0.25"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</row>
    <row r="336" spans="2:52" x14ac:dyDescent="0.25"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</row>
    <row r="337" spans="2:52" x14ac:dyDescent="0.25"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</row>
    <row r="338" spans="2:52" x14ac:dyDescent="0.25"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</row>
    <row r="339" spans="2:52" x14ac:dyDescent="0.25"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</row>
    <row r="340" spans="2:52" x14ac:dyDescent="0.25"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</row>
    <row r="341" spans="2:52" x14ac:dyDescent="0.25"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</row>
    <row r="342" spans="2:52" x14ac:dyDescent="0.25"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</row>
    <row r="343" spans="2:52" x14ac:dyDescent="0.25"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</row>
    <row r="344" spans="2:52" x14ac:dyDescent="0.25"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</row>
    <row r="345" spans="2:52" x14ac:dyDescent="0.25"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</row>
    <row r="346" spans="2:52" x14ac:dyDescent="0.25"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</row>
    <row r="347" spans="2:52" x14ac:dyDescent="0.25"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</row>
    <row r="348" spans="2:52" x14ac:dyDescent="0.25"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</row>
    <row r="349" spans="2:52" x14ac:dyDescent="0.25"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</row>
    <row r="350" spans="2:52" x14ac:dyDescent="0.25"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</row>
    <row r="351" spans="2:52" x14ac:dyDescent="0.25"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</row>
    <row r="352" spans="2:52" x14ac:dyDescent="0.25"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</row>
    <row r="353" spans="2:52" x14ac:dyDescent="0.25"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</row>
    <row r="354" spans="2:52" x14ac:dyDescent="0.25"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</row>
    <row r="355" spans="2:52" x14ac:dyDescent="0.25"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</row>
    <row r="356" spans="2:52" x14ac:dyDescent="0.25"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</row>
    <row r="357" spans="2:52" x14ac:dyDescent="0.25"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</row>
    <row r="358" spans="2:52" x14ac:dyDescent="0.25"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</row>
    <row r="359" spans="2:52" x14ac:dyDescent="0.25"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</row>
    <row r="360" spans="2:52" x14ac:dyDescent="0.25"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</row>
    <row r="361" spans="2:52" x14ac:dyDescent="0.25"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</row>
    <row r="362" spans="2:52" x14ac:dyDescent="0.25"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</row>
    <row r="363" spans="2:52" x14ac:dyDescent="0.25"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</row>
    <row r="364" spans="2:52" x14ac:dyDescent="0.25"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</row>
    <row r="365" spans="2:52" x14ac:dyDescent="0.25"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</row>
    <row r="366" spans="2:52" x14ac:dyDescent="0.25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</row>
    <row r="367" spans="2:52" x14ac:dyDescent="0.25"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</row>
    <row r="368" spans="2:52" x14ac:dyDescent="0.25"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</row>
    <row r="369" spans="2:52" x14ac:dyDescent="0.25"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</row>
    <row r="370" spans="2:52" x14ac:dyDescent="0.25"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</row>
    <row r="371" spans="2:52" x14ac:dyDescent="0.25"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</row>
    <row r="372" spans="2:52" x14ac:dyDescent="0.25"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</row>
    <row r="373" spans="2:52" x14ac:dyDescent="0.25"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</row>
    <row r="374" spans="2:52" x14ac:dyDescent="0.25"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</row>
    <row r="375" spans="2:52" x14ac:dyDescent="0.25"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</row>
    <row r="376" spans="2:52" x14ac:dyDescent="0.25"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</row>
    <row r="377" spans="2:52" x14ac:dyDescent="0.25"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</row>
    <row r="378" spans="2:52" x14ac:dyDescent="0.25"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</row>
    <row r="379" spans="2:52" x14ac:dyDescent="0.25"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</row>
    <row r="380" spans="2:52" x14ac:dyDescent="0.25"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</row>
    <row r="381" spans="2:52" x14ac:dyDescent="0.25"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</row>
    <row r="382" spans="2:52" x14ac:dyDescent="0.25"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</row>
    <row r="383" spans="2:52" x14ac:dyDescent="0.25"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</row>
    <row r="384" spans="2:52" x14ac:dyDescent="0.25"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</row>
    <row r="385" spans="2:52" x14ac:dyDescent="0.25"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</row>
    <row r="386" spans="2:52" x14ac:dyDescent="0.25"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</row>
    <row r="387" spans="2:52" x14ac:dyDescent="0.25"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</row>
    <row r="388" spans="2:52" x14ac:dyDescent="0.25"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</row>
    <row r="389" spans="2:52" x14ac:dyDescent="0.25"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</row>
    <row r="390" spans="2:52" x14ac:dyDescent="0.25"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</row>
    <row r="391" spans="2:52" x14ac:dyDescent="0.25"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</row>
    <row r="392" spans="2:52" x14ac:dyDescent="0.25"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</row>
    <row r="393" spans="2:52" x14ac:dyDescent="0.25"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</row>
    <row r="394" spans="2:52" x14ac:dyDescent="0.25"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</row>
    <row r="395" spans="2:52" x14ac:dyDescent="0.25"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</row>
    <row r="396" spans="2:52" x14ac:dyDescent="0.25"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</row>
    <row r="397" spans="2:52" x14ac:dyDescent="0.25"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</row>
    <row r="398" spans="2:52" x14ac:dyDescent="0.25"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</row>
    <row r="399" spans="2:52" x14ac:dyDescent="0.25"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</row>
    <row r="400" spans="2:52" x14ac:dyDescent="0.25"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</row>
    <row r="401" spans="2:52" x14ac:dyDescent="0.25"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Eduardo Oliveira</cp:lastModifiedBy>
  <dcterms:created xsi:type="dcterms:W3CDTF">2024-12-19T13:13:10Z</dcterms:created>
  <dcterms:modified xsi:type="dcterms:W3CDTF">2026-01-16T05:04:42Z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